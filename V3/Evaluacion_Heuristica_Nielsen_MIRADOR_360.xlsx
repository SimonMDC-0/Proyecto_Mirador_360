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WYtPFUTb4I4Pl/eIrz9d+11yJUvnI959fce7Zmrqc7E="/>
    </ext>
  </extLst>
</workbook>
</file>

<file path=xl/sharedStrings.xml><?xml version="1.0" encoding="utf-8"?>
<sst xmlns="http://schemas.openxmlformats.org/spreadsheetml/2006/main" count="155" uniqueCount="139">
  <si>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</si>
  <si>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</si>
  <si>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</si>
  <si>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</si>
  <si>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</si>
  <si>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</si>
  <si>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</si>
  <si>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</si>
  <si>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</si>
  <si>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</si>
  <si>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</si>
  <si>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</si>
  <si>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</si>
  <si>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</si>
  <si>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</si>
  <si>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</si>
  <si>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</si>
  <si>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</si>
  <si>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</si>
  <si>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</si>
  <si>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</si>
  <si>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</si>
  <si>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</si>
  <si>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#</t>
  </si>
  <si>
    <t>Heuristica</t>
  </si>
  <si>
    <t>Descripcion del problema</t>
  </si>
  <si>
    <t>Ubicacion en el MVP</t>
  </si>
  <si>
    <t>Severidad
(0-4)</t>
  </si>
  <si>
    <t>Evidencia
(captura/URL)</t>
  </si>
  <si>
    <t>Recomendacion de mejora</t>
  </si>
  <si>
    <t>Evaluador</t>
  </si>
  <si>
    <t>H2. Sistema y mundo real</t>
  </si>
  <si>
    <t>El sistema está disponible únicamente en español y carece de un selector de idiomas. Esto excluye a residentes extranjeros o usuarios que solo hablan inglés, impidiéndoles comprender sus deudas y completar el flujo de pago.</t>
  </si>
  <si>
    <t>MVP completo</t>
  </si>
  <si>
    <t>https://docs.google.com/document/d/1vdNB8FlGpvb-H6Uv3Mtdtl_PY3DS7212K4gX9x1bMhc/edit?usp=sharing</t>
  </si>
  <si>
    <t>Incorporar un selector de idioma (ej. un ícono de un globo terráqueo o iniciales "ES / EN") en la esquina superior derecha del header, permitiendo al usuario alternar dinámicamente la interfaz al inglés.</t>
  </si>
  <si>
    <t>Simón Molina</t>
  </si>
  <si>
    <t>H7. Flexibilidad y eficiencia</t>
  </si>
  <si>
    <t>El sistema no ofrece la opción de "Recordar usuario", obligando a la re-autenticación completa en cada inicio de sesión, lo cual reduce la eficiencia del usuario frecuente.</t>
  </si>
  <si>
    <t>Pantalla de Login</t>
  </si>
  <si>
    <t>Implementar un checkbox de "Recordar usuario" que persista el email mediante cookies o tokens locales, manteniendo la seguridad al no almacenar la contraseña.</t>
  </si>
  <si>
    <t>H4. Consistencia y estándares</t>
  </si>
  <si>
    <t>Existe redundancia en la pantalla de bienvenida; los botones "Comencemos" e "Iniciar Sesión" ejecutan la misma acción, causando confusión sobre la intención del sistema.</t>
  </si>
  <si>
    <t>Pantalla de Bienvenida</t>
  </si>
  <si>
    <t>Eliminar la redundancia: Renombrar "Comencemos" a "Registrarse" (si el flujo lleva a crear cuenta) o eliminar uno de los dos botones si ambos llevan a login.</t>
  </si>
  <si>
    <t>H1. Visibilidad del estado</t>
  </si>
  <si>
    <t>Los gastos presentados carecen de desglose o detalle, dificultando que el usuario comprenda el origen de los cobros en su cuenta.</t>
  </si>
  <si>
    <t xml:space="preserve">
Tabla de Pagos</t>
  </si>
  <si>
    <t>Implementar una vista de detalle (modal o drill-down) que despliegue el desglose del gasto (ej: Mantención, Servicios básicos, Fondo de Reserva) al hacer clic en el monto.</t>
  </si>
  <si>
    <t>H8. Diseño estético</t>
  </si>
  <si>
    <t>Bajo contraste en los textos grises sobre fondo blanco, dificultando la lectura.</t>
  </si>
  <si>
    <t>Tabla de pagos</t>
  </si>
  <si>
    <t>Ajustar el código hexadecimal del gris a uno más oscuro para cumplir con el ratio de contraste WCAG.</t>
  </si>
  <si>
    <t>H3. Control y libertad</t>
  </si>
  <si>
    <t>El perfil del usuario es de solo lectura; no permite actualizar datos de contacto (correo/teléfono).</t>
  </si>
  <si>
    <t>Pantalla de Perfil</t>
  </si>
  <si>
    <t>Justificado como limitación de MVP para asegurar integridad de datos; se recomienda habilitar edición con validación administrativa en fase 2.</t>
  </si>
  <si>
    <t>La pantalla de inicio de sesión no incluye un enlace o botón para registrar usuarios nuevos, rompiendo el estándar esperado en interfaces de autenticación y bloqueando el acceso a residentes sin cuenta.</t>
  </si>
  <si>
    <t>Pantalla de login</t>
  </si>
  <si>
    <t>Agregar un enlace visible debajo del botón principal que indique "¿Eres nuevo en el edificio? Regístrate aquí" o "Crear cuenta".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</si>
  <si>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</si>
  <si>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</si>
  <si>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</si>
  <si>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</si>
  <si>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</si>
  <si>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</si>
  <si>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</si>
  <si>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</si>
  <si>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</si>
  <si>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# Problemas</t>
  </si>
  <si>
    <t>Sev. Max.</t>
  </si>
  <si>
    <t>Sev. Prom.</t>
  </si>
  <si>
    <t>Estado</t>
  </si>
  <si>
    <t>Prioridad</t>
  </si>
  <si>
    <t>H1 - Visibilidad del estado</t>
  </si>
  <si>
    <t>H2 - Sistema y mundo real</t>
  </si>
  <si>
    <t>H3 - Control y libertad</t>
  </si>
  <si>
    <t>H4 - Consistencia y estandares</t>
  </si>
  <si>
    <t>H5 - Prevencion de errores</t>
  </si>
  <si>
    <t>H6 - Reconocimiento &gt; recuerdo</t>
  </si>
  <si>
    <t>H7 - Flexibilidad y eficiencia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</si>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</sst>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9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u/>
      <sz val="10.0"/>
      <color rgb="FF2C2C2A"/>
      <name val="Arial"/>
    </font>
    <font>
      <u/>
      <sz val="10.0"/>
      <color rgb="FF2C2C2A"/>
      <name val="Arial"/>
    </font>
    <font>
      <color theme="1"/>
      <name val="Calibri"/>
      <scheme val="minor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4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8" fillId="4" fontId="12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 shrinkToFit="0" wrapText="1"/>
    </xf>
    <xf borderId="8" fillId="3" fontId="7" numFmtId="0" xfId="0" applyAlignment="1" applyBorder="1" applyFont="1">
      <alignment horizontal="center" readingOrder="0" shrinkToFit="0" vertical="center" wrapText="1"/>
    </xf>
    <xf borderId="0" fillId="0" fontId="13" numFmtId="0" xfId="0" applyFont="1"/>
    <xf borderId="8" fillId="4" fontId="10" numFmtId="0" xfId="0" applyAlignment="1" applyBorder="1" applyFont="1">
      <alignment horizontal="left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left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1" fillId="5" fontId="14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6" numFmtId="0" xfId="0" applyAlignment="1" applyBorder="1" applyFont="1">
      <alignment horizontal="center" shrinkToFit="0" vertical="center" wrapText="1"/>
    </xf>
    <xf borderId="8" fillId="6" fontId="17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6" numFmtId="0" xfId="0" applyAlignment="1" applyBorder="1" applyFont="1">
      <alignment horizontal="center" shrinkToFit="0" vertical="center" wrapText="1"/>
    </xf>
    <xf borderId="8" fillId="4" fontId="17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dNB8FlGpvb-H6Uv3Mtdtl_PY3DS7212K4gX9x1bMhc/edit?usp=sharing" TargetMode="External"/><Relationship Id="rId2" Type="http://schemas.openxmlformats.org/officeDocument/2006/relationships/hyperlink" Target="https://docs.google.com/document/d/1vdNB8FlGpvb-H6Uv3Mtdtl_PY3DS7212K4gX9x1bMhc/edit?usp=sharing" TargetMode="External"/><Relationship Id="rId3" Type="http://schemas.openxmlformats.org/officeDocument/2006/relationships/hyperlink" Target="https://docs.google.com/document/d/1vdNB8FlGpvb-H6Uv3Mtdtl_PY3DS7212K4gX9x1bMhc/edit?usp=sharing" TargetMode="External"/><Relationship Id="rId4" Type="http://schemas.openxmlformats.org/officeDocument/2006/relationships/hyperlink" Target="https://docs.google.com/document/d/1vdNB8FlGpvb-H6Uv3Mtdtl_PY3DS7212K4gX9x1bMhc/edit?usp=sharing" TargetMode="External"/><Relationship Id="rId5" Type="http://schemas.openxmlformats.org/officeDocument/2006/relationships/hyperlink" Target="https://docs.google.com/document/d/1vdNB8FlGpvb-H6Uv3Mtdtl_PY3DS7212K4gX9x1bMhc/edit?usp=sharing" TargetMode="External"/><Relationship Id="rId6" Type="http://schemas.openxmlformats.org/officeDocument/2006/relationships/hyperlink" Target="https://docs.google.com/document/d/1vdNB8FlGpvb-H6Uv3Mtdtl_PY3DS7212K4gX9x1bMhc/edit?usp=sharing" TargetMode="External"/><Relationship Id="rId7" Type="http://schemas.openxmlformats.org/officeDocument/2006/relationships/hyperlink" Target="https://docs.google.com/document/d/1vdNB8FlGpvb-H6Uv3Mtdtl_PY3DS7212K4gX9x1bMhc/edit?usp=sharing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86"/>
  </cols>
  <sheetData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52.0"/>
    <col customWidth="1" min="4" max="4" width="28.0"/>
    <col customWidth="1" min="5" max="5" width="12.0"/>
    <col customWidth="1" min="6" max="6" width="26.0"/>
    <col customWidth="1" min="7" max="7" width="44.86"/>
    <col customWidth="1" min="8" max="8" width="16.0"/>
    <col customWidth="1" min="9" max="26" width="8.86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 t="s">
        <v>23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</row>
    <row r="4" ht="107.25" customHeight="1">
      <c r="A4" s="14">
        <v>1.0</v>
      </c>
      <c r="B4" s="15" t="s">
        <v>31</v>
      </c>
      <c r="C4" s="16" t="s">
        <v>32</v>
      </c>
      <c r="D4" s="16" t="s">
        <v>33</v>
      </c>
      <c r="E4" s="17">
        <v>2.0</v>
      </c>
      <c r="F4" s="18" t="s">
        <v>34</v>
      </c>
      <c r="G4" s="16" t="s">
        <v>35</v>
      </c>
      <c r="H4" s="16" t="s">
        <v>36</v>
      </c>
    </row>
    <row r="5" ht="80.25" customHeight="1">
      <c r="A5" s="19">
        <v>2.0</v>
      </c>
      <c r="B5" s="15" t="s">
        <v>37</v>
      </c>
      <c r="C5" s="20" t="s">
        <v>38</v>
      </c>
      <c r="D5" s="21" t="s">
        <v>39</v>
      </c>
      <c r="E5" s="22">
        <v>2.0</v>
      </c>
      <c r="F5" s="23" t="s">
        <v>34</v>
      </c>
      <c r="G5" s="21" t="s">
        <v>40</v>
      </c>
      <c r="H5" s="21" t="s">
        <v>36</v>
      </c>
    </row>
    <row r="6" ht="66.0" customHeight="1">
      <c r="A6" s="14">
        <v>3.0</v>
      </c>
      <c r="B6" s="15" t="s">
        <v>41</v>
      </c>
      <c r="C6" s="24" t="s">
        <v>42</v>
      </c>
      <c r="D6" s="15" t="s">
        <v>43</v>
      </c>
      <c r="E6" s="17">
        <v>1.0</v>
      </c>
      <c r="F6" s="18" t="s">
        <v>34</v>
      </c>
      <c r="G6" s="24" t="s">
        <v>44</v>
      </c>
      <c r="H6" s="16" t="s">
        <v>36</v>
      </c>
    </row>
    <row r="7" ht="42.0" customHeight="1">
      <c r="A7" s="19">
        <v>4.0</v>
      </c>
      <c r="B7" s="15" t="s">
        <v>45</v>
      </c>
      <c r="C7" s="24" t="s">
        <v>46</v>
      </c>
      <c r="D7" s="21" t="s">
        <v>47</v>
      </c>
      <c r="E7" s="22">
        <v>3.0</v>
      </c>
      <c r="F7" s="23" t="s">
        <v>34</v>
      </c>
      <c r="G7" s="25" t="s">
        <v>48</v>
      </c>
      <c r="H7" s="21" t="s">
        <v>36</v>
      </c>
    </row>
    <row r="8" ht="42.0" customHeight="1">
      <c r="A8" s="14">
        <v>5.0</v>
      </c>
      <c r="B8" s="15" t="s">
        <v>49</v>
      </c>
      <c r="C8" s="16" t="s">
        <v>50</v>
      </c>
      <c r="D8" s="16" t="s">
        <v>51</v>
      </c>
      <c r="E8" s="26">
        <v>1.0</v>
      </c>
      <c r="F8" s="18" t="s">
        <v>34</v>
      </c>
      <c r="G8" s="24" t="s">
        <v>52</v>
      </c>
      <c r="H8" s="16" t="s">
        <v>36</v>
      </c>
    </row>
    <row r="9" ht="42.0" customHeight="1">
      <c r="A9" s="19">
        <v>6.0</v>
      </c>
      <c r="B9" s="15" t="s">
        <v>53</v>
      </c>
      <c r="C9" s="24" t="s">
        <v>54</v>
      </c>
      <c r="D9" s="15" t="s">
        <v>55</v>
      </c>
      <c r="E9" s="22">
        <v>1.0</v>
      </c>
      <c r="F9" s="23" t="s">
        <v>34</v>
      </c>
      <c r="G9" s="24" t="s">
        <v>56</v>
      </c>
      <c r="H9" s="16" t="s">
        <v>36</v>
      </c>
    </row>
    <row r="10" ht="42.0" customHeight="1">
      <c r="A10" s="14">
        <v>7.0</v>
      </c>
      <c r="B10" s="27" t="s">
        <v>41</v>
      </c>
      <c r="C10" s="28" t="s">
        <v>57</v>
      </c>
      <c r="D10" s="16" t="s">
        <v>58</v>
      </c>
      <c r="E10" s="29">
        <v>3.0</v>
      </c>
      <c r="F10" s="18" t="s">
        <v>34</v>
      </c>
      <c r="G10" s="28" t="s">
        <v>59</v>
      </c>
      <c r="H10" s="16" t="s">
        <v>36</v>
      </c>
    </row>
    <row r="11" ht="42.0" customHeight="1">
      <c r="A11" s="19">
        <v>8.0</v>
      </c>
      <c r="B11" s="30"/>
      <c r="C11" s="31"/>
      <c r="D11" s="31"/>
      <c r="E11" s="32"/>
      <c r="F11" s="31"/>
      <c r="G11" s="31"/>
      <c r="H11" s="31"/>
    </row>
    <row r="12" ht="42.0" customHeight="1">
      <c r="A12" s="14">
        <v>9.0</v>
      </c>
      <c r="B12" s="33"/>
      <c r="C12" s="33"/>
      <c r="D12" s="33"/>
      <c r="E12" s="34"/>
      <c r="F12" s="33"/>
      <c r="G12" s="33"/>
      <c r="H12" s="33"/>
    </row>
    <row r="13" ht="42.0" customHeight="1">
      <c r="A13" s="19">
        <v>10.0</v>
      </c>
      <c r="B13" s="31"/>
      <c r="C13" s="31"/>
      <c r="D13" s="31"/>
      <c r="E13" s="32"/>
      <c r="F13" s="31"/>
      <c r="G13" s="31"/>
      <c r="H13" s="31"/>
    </row>
    <row r="14" ht="42.0" customHeight="1">
      <c r="A14" s="14">
        <v>11.0</v>
      </c>
      <c r="B14" s="33"/>
      <c r="C14" s="33"/>
      <c r="D14" s="33"/>
      <c r="E14" s="34"/>
      <c r="F14" s="33"/>
      <c r="G14" s="33"/>
      <c r="H14" s="33"/>
    </row>
    <row r="15" ht="42.0" customHeight="1">
      <c r="A15" s="19">
        <v>12.0</v>
      </c>
      <c r="B15" s="31"/>
      <c r="C15" s="31"/>
      <c r="D15" s="31"/>
      <c r="E15" s="32"/>
      <c r="F15" s="31"/>
      <c r="G15" s="31"/>
      <c r="H15" s="31"/>
    </row>
    <row r="16" ht="42.0" customHeight="1">
      <c r="A16" s="14">
        <v>13.0</v>
      </c>
      <c r="B16" s="33"/>
      <c r="C16" s="33"/>
      <c r="D16" s="33"/>
      <c r="E16" s="34"/>
      <c r="F16" s="33"/>
      <c r="G16" s="33"/>
      <c r="H16" s="33"/>
    </row>
    <row r="17" ht="42.0" customHeight="1">
      <c r="A17" s="19">
        <v>14.0</v>
      </c>
      <c r="B17" s="31"/>
      <c r="C17" s="31"/>
      <c r="D17" s="31"/>
      <c r="E17" s="32"/>
      <c r="F17" s="31"/>
      <c r="G17" s="31"/>
      <c r="H17" s="31"/>
    </row>
    <row r="18" ht="42.0" customHeight="1">
      <c r="A18" s="14">
        <v>15.0</v>
      </c>
      <c r="B18" s="33"/>
      <c r="C18" s="33"/>
      <c r="D18" s="33"/>
      <c r="E18" s="34"/>
      <c r="F18" s="33"/>
      <c r="G18" s="33"/>
      <c r="H18" s="33"/>
    </row>
    <row r="19" ht="42.0" customHeight="1">
      <c r="A19" s="19">
        <v>16.0</v>
      </c>
      <c r="B19" s="31"/>
      <c r="C19" s="31"/>
      <c r="D19" s="31"/>
      <c r="E19" s="32"/>
      <c r="F19" s="31"/>
      <c r="G19" s="31"/>
      <c r="H19" s="31"/>
    </row>
    <row r="20" ht="42.0" customHeight="1">
      <c r="A20" s="14">
        <v>17.0</v>
      </c>
      <c r="B20" s="33"/>
      <c r="C20" s="33"/>
      <c r="D20" s="33"/>
      <c r="E20" s="34"/>
      <c r="F20" s="33"/>
      <c r="G20" s="33"/>
      <c r="H20" s="33"/>
    </row>
    <row r="21" ht="42.0" customHeight="1">
      <c r="A21" s="19">
        <v>18.0</v>
      </c>
      <c r="B21" s="31"/>
      <c r="C21" s="31"/>
      <c r="D21" s="31"/>
      <c r="E21" s="32"/>
      <c r="F21" s="31"/>
      <c r="G21" s="31"/>
      <c r="H21" s="31"/>
    </row>
    <row r="22" ht="42.0" customHeight="1">
      <c r="A22" s="14">
        <v>19.0</v>
      </c>
      <c r="B22" s="33"/>
      <c r="C22" s="33"/>
      <c r="D22" s="33"/>
      <c r="E22" s="34"/>
      <c r="F22" s="33"/>
      <c r="G22" s="33"/>
      <c r="H22" s="33"/>
    </row>
    <row r="23" ht="42.0" customHeight="1">
      <c r="A23" s="19">
        <v>20.0</v>
      </c>
      <c r="B23" s="31"/>
      <c r="C23" s="31"/>
      <c r="D23" s="31"/>
      <c r="E23" s="32"/>
      <c r="F23" s="31"/>
      <c r="G23" s="31"/>
      <c r="H23" s="31"/>
    </row>
    <row r="24" ht="42.0" customHeight="1">
      <c r="A24" s="14">
        <v>21.0</v>
      </c>
      <c r="B24" s="33"/>
      <c r="C24" s="33"/>
      <c r="D24" s="33"/>
      <c r="E24" s="34"/>
      <c r="F24" s="33"/>
      <c r="G24" s="33"/>
      <c r="H24" s="33"/>
    </row>
    <row r="25" ht="42.0" customHeight="1">
      <c r="A25" s="19">
        <v>22.0</v>
      </c>
      <c r="B25" s="31"/>
      <c r="C25" s="31"/>
      <c r="D25" s="31"/>
      <c r="E25" s="32"/>
      <c r="F25" s="31"/>
      <c r="G25" s="31"/>
      <c r="H25" s="31"/>
    </row>
    <row r="26" ht="42.0" customHeight="1">
      <c r="A26" s="14">
        <v>23.0</v>
      </c>
      <c r="B26" s="33"/>
      <c r="C26" s="33"/>
      <c r="D26" s="33"/>
      <c r="E26" s="34"/>
      <c r="F26" s="33"/>
      <c r="G26" s="33"/>
      <c r="H26" s="33"/>
    </row>
    <row r="27" ht="42.0" customHeight="1">
      <c r="A27" s="19">
        <v>24.0</v>
      </c>
      <c r="B27" s="31"/>
      <c r="C27" s="31"/>
      <c r="D27" s="31"/>
      <c r="E27" s="32"/>
      <c r="F27" s="31"/>
      <c r="G27" s="31"/>
      <c r="H27" s="31"/>
    </row>
    <row r="28" ht="42.0" customHeight="1">
      <c r="A28" s="14">
        <v>25.0</v>
      </c>
      <c r="B28" s="33"/>
      <c r="C28" s="33"/>
      <c r="D28" s="33"/>
      <c r="E28" s="34"/>
      <c r="F28" s="33"/>
      <c r="G28" s="33"/>
      <c r="H28" s="33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28">
      <formula1>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</hyperlinks>
  <printOptions/>
  <pageMargins bottom="1.0" footer="0.0" header="0.0" left="0.75" right="0.75" top="1.0"/>
  <pageSetup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5" width="14.0"/>
    <col customWidth="1" min="6" max="6" width="18.0"/>
    <col customWidth="1" min="7" max="7" width="20.0"/>
    <col customWidth="1" min="8" max="26" width="8.86"/>
  </cols>
  <sheetData>
    <row r="1" ht="31.5" customHeight="1">
      <c r="B1" s="11" t="s">
        <v>60</v>
      </c>
      <c r="C1" s="2"/>
      <c r="D1" s="2"/>
      <c r="E1" s="2"/>
      <c r="F1" s="2"/>
      <c r="G1" s="3"/>
    </row>
    <row r="2" ht="15.75" customHeight="1">
      <c r="B2" s="12" t="s">
        <v>61</v>
      </c>
      <c r="C2" s="2"/>
      <c r="D2" s="2"/>
      <c r="E2" s="2"/>
      <c r="F2" s="2"/>
      <c r="G2" s="3"/>
    </row>
    <row r="4" ht="18.0" customHeight="1">
      <c r="B4" s="35" t="s">
        <v>62</v>
      </c>
      <c r="C4" s="2"/>
      <c r="D4" s="2"/>
      <c r="E4" s="2"/>
      <c r="F4" s="2"/>
      <c r="G4" s="3"/>
    </row>
    <row r="5" ht="21.75" customHeight="1">
      <c r="B5" s="36" t="s">
        <v>63</v>
      </c>
      <c r="C5" s="37">
        <f>COUNTA(Evaluacion!C4:C28)</f>
        <v>7</v>
      </c>
      <c r="D5" s="7"/>
    </row>
    <row r="6" ht="21.75" customHeight="1">
      <c r="B6" s="36" t="s">
        <v>64</v>
      </c>
      <c r="C6" s="38">
        <f>IFERROR(AVERAGE(Evaluacion!E4:E28),0)</f>
        <v>1.857142857</v>
      </c>
      <c r="D6" s="7"/>
    </row>
    <row r="7" ht="21.75" customHeight="1">
      <c r="B7" s="36" t="s">
        <v>65</v>
      </c>
      <c r="C7" s="37">
        <f>COUNTIF(Evaluacion!E4:E28,4)</f>
        <v>0</v>
      </c>
      <c r="D7" s="7"/>
    </row>
    <row r="8" ht="21.75" customHeight="1">
      <c r="B8" s="36" t="s">
        <v>66</v>
      </c>
      <c r="C8" s="37">
        <f>COUNTIF(Evaluacion!E4:E28,3)</f>
        <v>2</v>
      </c>
      <c r="D8" s="7"/>
    </row>
    <row r="9" ht="21.75" customHeight="1">
      <c r="B9" s="36" t="s">
        <v>67</v>
      </c>
      <c r="C9" s="37">
        <f>COUNTIFS(Evaluacion!E4:E28,"&gt;=1",Evaluacion!E4:E28,"&lt;=2")</f>
        <v>5</v>
      </c>
      <c r="D9" s="7"/>
    </row>
    <row r="11" ht="18.0" customHeight="1">
      <c r="B11" s="39" t="s">
        <v>68</v>
      </c>
      <c r="C11" s="2"/>
      <c r="D11" s="2"/>
      <c r="E11" s="2"/>
      <c r="F11" s="2"/>
      <c r="G11" s="3"/>
    </row>
    <row r="12" ht="19.5" customHeight="1">
      <c r="B12" s="13" t="s">
        <v>24</v>
      </c>
      <c r="C12" s="13" t="s">
        <v>69</v>
      </c>
      <c r="D12" s="13" t="s">
        <v>70</v>
      </c>
      <c r="E12" s="13" t="s">
        <v>71</v>
      </c>
      <c r="F12" s="13" t="s">
        <v>72</v>
      </c>
      <c r="G12" s="13" t="s">
        <v>73</v>
      </c>
    </row>
    <row r="13" ht="19.5" customHeight="1">
      <c r="B13" s="40" t="s">
        <v>74</v>
      </c>
      <c r="C13" s="41">
        <f>COUNTIF(Evaluacion!B4:B28,"*H1*")</f>
        <v>1</v>
      </c>
      <c r="D13" s="41">
        <f>IFERROR(_xludf.MAXIFS(Evaluacion!E4:E28,Evaluacion!B4:B28,"*H1*"),0)</f>
        <v>0</v>
      </c>
      <c r="E13" s="42">
        <f>IFERROR(AVERAGEIF(Evaluacion!B4:B28,"*H1*",Evaluacion!E4:E28),0)</f>
        <v>3</v>
      </c>
      <c r="F13" s="43" t="str">
        <f t="shared" ref="F13:F22" si="1">IF(C13=0,"Sin problemas",IF(D13&gt;=4,"CRITICO",IF(D13&gt;=3,"MAYOR","MENOR")))</f>
        <v>MENOR</v>
      </c>
      <c r="G13" s="43" t="str">
        <f t="shared" ref="G13:G22" si="2">IF(C13=0,"Sin problemas",IF(D13=4,"1 - Inmediata",IF(D13=3,"2 - Alta",IF(D13=2,"3 - Media","4 - Baja"))))</f>
        <v>4 - Baja</v>
      </c>
    </row>
    <row r="14" ht="19.5" customHeight="1">
      <c r="B14" s="44" t="s">
        <v>75</v>
      </c>
      <c r="C14" s="45">
        <f>COUNTIF(Evaluacion!B4:B28,"*H2*")</f>
        <v>1</v>
      </c>
      <c r="D14" s="45">
        <f>IFERROR(_xludf.MAXIFS(Evaluacion!E4:E28,Evaluacion!B4:B28,"*H2*"),0)</f>
        <v>0</v>
      </c>
      <c r="E14" s="46">
        <f>IFERROR(AVERAGEIF(Evaluacion!B4:B28,"*H2*",Evaluacion!E4:E28),0)</f>
        <v>2</v>
      </c>
      <c r="F14" s="47" t="str">
        <f t="shared" si="1"/>
        <v>MENOR</v>
      </c>
      <c r="G14" s="47" t="str">
        <f t="shared" si="2"/>
        <v>4 - Baja</v>
      </c>
    </row>
    <row r="15" ht="19.5" customHeight="1">
      <c r="B15" s="40" t="s">
        <v>76</v>
      </c>
      <c r="C15" s="41">
        <f>COUNTIF(Evaluacion!B4:B28,"*H3*")</f>
        <v>1</v>
      </c>
      <c r="D15" s="41">
        <f>IFERROR(_xludf.MAXIFS(Evaluacion!E4:E28,Evaluacion!B4:B28,"*H3*"),0)</f>
        <v>0</v>
      </c>
      <c r="E15" s="42">
        <f>IFERROR(AVERAGEIF(Evaluacion!B4:B28,"*H3*",Evaluacion!E4:E28),0)</f>
        <v>1</v>
      </c>
      <c r="F15" s="43" t="str">
        <f t="shared" si="1"/>
        <v>MENOR</v>
      </c>
      <c r="G15" s="43" t="str">
        <f t="shared" si="2"/>
        <v>4 - Baja</v>
      </c>
    </row>
    <row r="16" ht="19.5" customHeight="1">
      <c r="B16" s="44" t="s">
        <v>77</v>
      </c>
      <c r="C16" s="45">
        <f>COUNTIF(Evaluacion!B4:B28,"*H4*")</f>
        <v>2</v>
      </c>
      <c r="D16" s="45">
        <f>IFERROR(_xludf.MAXIFS(Evaluacion!E4:E28,Evaluacion!B4:B28,"*H4*"),0)</f>
        <v>0</v>
      </c>
      <c r="E16" s="46">
        <f>IFERROR(AVERAGEIF(Evaluacion!B4:B28,"*H4*",Evaluacion!E4:E28),0)</f>
        <v>2</v>
      </c>
      <c r="F16" s="47" t="str">
        <f t="shared" si="1"/>
        <v>MENOR</v>
      </c>
      <c r="G16" s="47" t="str">
        <f t="shared" si="2"/>
        <v>4 - Baja</v>
      </c>
    </row>
    <row r="17" ht="19.5" customHeight="1">
      <c r="B17" s="40" t="s">
        <v>78</v>
      </c>
      <c r="C17" s="41">
        <f>COUNTIF(Evaluacion!B4:B28,"*H5*")</f>
        <v>0</v>
      </c>
      <c r="D17" s="41">
        <f>IFERROR(_xludf.MAXIFS(Evaluacion!E4:E28,Evaluacion!B4:B28,"*H5*"),0)</f>
        <v>0</v>
      </c>
      <c r="E17" s="42">
        <f>IFERROR(AVERAGEIF(Evaluacion!B4:B28,"*H5*",Evaluacion!E4:E28),0)</f>
        <v>0</v>
      </c>
      <c r="F17" s="43" t="str">
        <f t="shared" si="1"/>
        <v>Sin problemas</v>
      </c>
      <c r="G17" s="43" t="str">
        <f t="shared" si="2"/>
        <v>Sin problemas</v>
      </c>
    </row>
    <row r="18" ht="19.5" customHeight="1">
      <c r="B18" s="44" t="s">
        <v>79</v>
      </c>
      <c r="C18" s="45">
        <f>COUNTIF(Evaluacion!B4:B28,"*H6*")</f>
        <v>0</v>
      </c>
      <c r="D18" s="45">
        <f>IFERROR(_xludf.MAXIFS(Evaluacion!E4:E28,Evaluacion!B4:B28,"*H6*"),0)</f>
        <v>0</v>
      </c>
      <c r="E18" s="46">
        <f>IFERROR(AVERAGEIF(Evaluacion!B4:B28,"*H6*",Evaluacion!E4:E28),0)</f>
        <v>0</v>
      </c>
      <c r="F18" s="47" t="str">
        <f t="shared" si="1"/>
        <v>Sin problemas</v>
      </c>
      <c r="G18" s="47" t="str">
        <f t="shared" si="2"/>
        <v>Sin problemas</v>
      </c>
    </row>
    <row r="19" ht="19.5" customHeight="1">
      <c r="B19" s="40" t="s">
        <v>80</v>
      </c>
      <c r="C19" s="41">
        <f>COUNTIF(Evaluacion!B4:B28,"*H7*")</f>
        <v>1</v>
      </c>
      <c r="D19" s="41">
        <f>IFERROR(_xludf.MAXIFS(Evaluacion!E4:E28,Evaluacion!B4:B28,"*H7*"),0)</f>
        <v>0</v>
      </c>
      <c r="E19" s="42">
        <f>IFERROR(AVERAGEIF(Evaluacion!B4:B28,"*H7*",Evaluacion!E4:E28),0)</f>
        <v>2</v>
      </c>
      <c r="F19" s="43" t="str">
        <f t="shared" si="1"/>
        <v>MENOR</v>
      </c>
      <c r="G19" s="43" t="str">
        <f t="shared" si="2"/>
        <v>4 - Baja</v>
      </c>
    </row>
    <row r="20" ht="19.5" customHeight="1">
      <c r="B20" s="44" t="s">
        <v>81</v>
      </c>
      <c r="C20" s="45">
        <f>COUNTIF(Evaluacion!B4:B28,"*H8*")</f>
        <v>1</v>
      </c>
      <c r="D20" s="45">
        <f>IFERROR(_xludf.MAXIFS(Evaluacion!E4:E28,Evaluacion!B4:B28,"*H8*"),0)</f>
        <v>0</v>
      </c>
      <c r="E20" s="46">
        <f>IFERROR(AVERAGEIF(Evaluacion!B4:B28,"*H8*",Evaluacion!E4:E28),0)</f>
        <v>1</v>
      </c>
      <c r="F20" s="47" t="str">
        <f t="shared" si="1"/>
        <v>MENOR</v>
      </c>
      <c r="G20" s="47" t="str">
        <f t="shared" si="2"/>
        <v>4 - Baja</v>
      </c>
    </row>
    <row r="21" ht="19.5" customHeight="1">
      <c r="B21" s="40" t="s">
        <v>82</v>
      </c>
      <c r="C21" s="41">
        <f>COUNTIF(Evaluacion!B4:B28,"*H9*")</f>
        <v>0</v>
      </c>
      <c r="D21" s="41">
        <f>IFERROR(_xludf.MAXIFS(Evaluacion!E4:E28,Evaluacion!B4:B28,"*H9*"),0)</f>
        <v>0</v>
      </c>
      <c r="E21" s="42">
        <f>IFERROR(AVERAGEIF(Evaluacion!B4:B28,"*H9*",Evaluacion!E4:E28),0)</f>
        <v>0</v>
      </c>
      <c r="F21" s="43" t="str">
        <f t="shared" si="1"/>
        <v>Sin problemas</v>
      </c>
      <c r="G21" s="43" t="str">
        <f t="shared" si="2"/>
        <v>Sin problemas</v>
      </c>
    </row>
    <row r="22" ht="19.5" customHeight="1">
      <c r="B22" s="44" t="s">
        <v>83</v>
      </c>
      <c r="C22" s="45">
        <f>COUNTIF(Evaluacion!B4:B28,"*H10*")</f>
        <v>0</v>
      </c>
      <c r="D22" s="45">
        <f>IFERROR(_xludf.MAXIFS(Evaluacion!E4:E28,Evaluacion!B4:B28,"*H10*"),0)</f>
        <v>0</v>
      </c>
      <c r="E22" s="46">
        <f>IFERROR(AVERAGEIF(Evaluacion!B4:B28,"*H10*",Evaluacion!E4:E28),0)</f>
        <v>0</v>
      </c>
      <c r="F22" s="47" t="str">
        <f t="shared" si="1"/>
        <v>Sin problemas</v>
      </c>
      <c r="G22" s="47" t="str">
        <f t="shared" si="2"/>
        <v>Sin problemas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86"/>
  </cols>
  <sheetData>
    <row r="1" ht="31.5" customHeight="1">
      <c r="B1" s="11" t="s">
        <v>84</v>
      </c>
      <c r="C1" s="2"/>
      <c r="D1" s="2"/>
      <c r="E1" s="2"/>
      <c r="F1" s="3"/>
    </row>
    <row r="2" ht="15.75" customHeight="1">
      <c r="B2" s="12" t="s">
        <v>85</v>
      </c>
      <c r="C2" s="2"/>
      <c r="D2" s="2"/>
      <c r="E2" s="2"/>
      <c r="F2" s="3"/>
    </row>
    <row r="3" ht="21.75" customHeight="1">
      <c r="B3" s="13" t="s">
        <v>23</v>
      </c>
      <c r="C3" s="13" t="s">
        <v>24</v>
      </c>
      <c r="D3" s="13" t="s">
        <v>86</v>
      </c>
      <c r="E3" s="13" t="s">
        <v>87</v>
      </c>
      <c r="F3" s="13" t="s">
        <v>88</v>
      </c>
    </row>
    <row r="4" ht="57.75" customHeight="1">
      <c r="B4" s="48" t="s">
        <v>89</v>
      </c>
      <c r="C4" s="49" t="s">
        <v>90</v>
      </c>
      <c r="D4" s="50" t="s">
        <v>91</v>
      </c>
      <c r="E4" s="50" t="s">
        <v>92</v>
      </c>
      <c r="F4" s="50" t="s">
        <v>93</v>
      </c>
    </row>
    <row r="5" ht="57.75" customHeight="1">
      <c r="B5" s="48" t="s">
        <v>94</v>
      </c>
      <c r="C5" s="49" t="s">
        <v>95</v>
      </c>
      <c r="D5" s="50" t="s">
        <v>96</v>
      </c>
      <c r="E5" s="50" t="s">
        <v>97</v>
      </c>
      <c r="F5" s="50" t="s">
        <v>98</v>
      </c>
    </row>
    <row r="6" ht="57.75" customHeight="1">
      <c r="B6" s="48" t="s">
        <v>99</v>
      </c>
      <c r="C6" s="49" t="s">
        <v>100</v>
      </c>
      <c r="D6" s="50" t="s">
        <v>101</v>
      </c>
      <c r="E6" s="50" t="s">
        <v>102</v>
      </c>
      <c r="F6" s="50" t="s">
        <v>103</v>
      </c>
    </row>
    <row r="7" ht="57.75" customHeight="1">
      <c r="B7" s="48" t="s">
        <v>104</v>
      </c>
      <c r="C7" s="49" t="s">
        <v>105</v>
      </c>
      <c r="D7" s="50" t="s">
        <v>106</v>
      </c>
      <c r="E7" s="50" t="s">
        <v>107</v>
      </c>
      <c r="F7" s="50" t="s">
        <v>108</v>
      </c>
    </row>
    <row r="8" ht="57.75" customHeight="1">
      <c r="B8" s="48" t="s">
        <v>109</v>
      </c>
      <c r="C8" s="49" t="s">
        <v>110</v>
      </c>
      <c r="D8" s="50" t="s">
        <v>111</v>
      </c>
      <c r="E8" s="50" t="s">
        <v>112</v>
      </c>
      <c r="F8" s="50" t="s">
        <v>113</v>
      </c>
    </row>
    <row r="9" ht="57.75" customHeight="1">
      <c r="B9" s="48" t="s">
        <v>114</v>
      </c>
      <c r="C9" s="49" t="s">
        <v>115</v>
      </c>
      <c r="D9" s="50" t="s">
        <v>116</v>
      </c>
      <c r="E9" s="50" t="s">
        <v>117</v>
      </c>
      <c r="F9" s="50" t="s">
        <v>118</v>
      </c>
    </row>
    <row r="10" ht="57.75" customHeight="1">
      <c r="B10" s="48" t="s">
        <v>119</v>
      </c>
      <c r="C10" s="49" t="s">
        <v>120</v>
      </c>
      <c r="D10" s="50" t="s">
        <v>121</v>
      </c>
      <c r="E10" s="50" t="s">
        <v>122</v>
      </c>
      <c r="F10" s="50" t="s">
        <v>123</v>
      </c>
    </row>
    <row r="11" ht="57.75" customHeight="1">
      <c r="B11" s="48" t="s">
        <v>124</v>
      </c>
      <c r="C11" s="49" t="s">
        <v>125</v>
      </c>
      <c r="D11" s="50" t="s">
        <v>126</v>
      </c>
      <c r="E11" s="50" t="s">
        <v>127</v>
      </c>
      <c r="F11" s="50" t="s">
        <v>128</v>
      </c>
    </row>
    <row r="12" ht="57.75" customHeight="1">
      <c r="B12" s="48" t="s">
        <v>129</v>
      </c>
      <c r="C12" s="49" t="s">
        <v>130</v>
      </c>
      <c r="D12" s="50" t="s">
        <v>131</v>
      </c>
      <c r="E12" s="50" t="s">
        <v>132</v>
      </c>
      <c r="F12" s="50" t="s">
        <v>133</v>
      </c>
    </row>
    <row r="13" ht="57.75" customHeight="1">
      <c r="B13" s="48" t="s">
        <v>134</v>
      </c>
      <c r="C13" s="49" t="s">
        <v>135</v>
      </c>
      <c r="D13" s="50" t="s">
        <v>136</v>
      </c>
      <c r="E13" s="50" t="s">
        <v>137</v>
      </c>
      <c r="F13" s="50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